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aganaconsultingcom-my.sharepoint.com/personal/paul_lagana_laganaconsulting_com/Documents/scripts/LOE calculator/outputs/"/>
    </mc:Choice>
  </mc:AlternateContent>
  <xr:revisionPtr revIDLastSave="8" documentId="11_CEA12AAD602F6599945FC670A71A14F58399C5CD" xr6:coauthVersionLast="47" xr6:coauthVersionMax="47" xr10:uidLastSave="{649E6FAD-522E-48D3-AAE5-D4CFD815ECAD}"/>
  <bookViews>
    <workbookView xWindow="-120" yWindow="-120" windowWidth="51840" windowHeight="21120" activeTab="1" xr2:uid="{00000000-000D-0000-FFFF-FFFF00000000}"/>
  </bookViews>
  <sheets>
    <sheet name="LOE Calculator" sheetId="1" r:id="rId1"/>
    <sheet name="LOE by Phase" sheetId="2" r:id="rId2"/>
    <sheet name="Executive Summary" sheetId="3" r:id="rId3"/>
    <sheet name="Infra &amp; Readiness" sheetId="4" r:id="rId4"/>
    <sheet name="Name Conflicts" sheetId="5" r:id="rId5"/>
    <sheet name="Assum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E17" i="3"/>
  <c r="D7" i="2"/>
  <c r="C7" i="2"/>
  <c r="B7" i="2"/>
  <c r="E7" i="2" s="1"/>
  <c r="E13" i="3" s="1"/>
  <c r="D6" i="2"/>
  <c r="C6" i="2"/>
  <c r="B6" i="2"/>
  <c r="B8" i="2" s="1"/>
  <c r="D5" i="2"/>
  <c r="C5" i="2"/>
  <c r="E5" i="2" s="1"/>
  <c r="E11" i="3" s="1"/>
  <c r="D4" i="2"/>
  <c r="D8" i="2" s="1"/>
  <c r="C4" i="2"/>
  <c r="C8" i="2" s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7" i="1" s="1"/>
  <c r="E4" i="2" l="1"/>
  <c r="E6" i="2"/>
  <c r="E12" i="3" s="1"/>
  <c r="E10" i="3" l="1"/>
  <c r="E8" i="2"/>
  <c r="E14" i="3" l="1"/>
  <c r="B13" i="2"/>
  <c r="E18" i="3" s="1"/>
  <c r="B14" i="2"/>
  <c r="E20" i="3" s="1"/>
</calcChain>
</file>

<file path=xl/sharedStrings.xml><?xml version="1.0" encoding="utf-8"?>
<sst xmlns="http://schemas.openxmlformats.org/spreadsheetml/2006/main" count="623" uniqueCount="269">
  <si>
    <t>Category</t>
  </si>
  <si>
    <t>Count</t>
  </si>
  <si>
    <t>Hours per Unit</t>
  </si>
  <si>
    <t>Total Hours</t>
  </si>
  <si>
    <t>Comments</t>
  </si>
  <si>
    <t>Phase</t>
  </si>
  <si>
    <t>Type</t>
  </si>
  <si>
    <t>Discovery - Review AD assessments</t>
  </si>
  <si>
    <t>Review existing AD assessments and inventories.</t>
  </si>
  <si>
    <t>Discovery &amp; Validation</t>
  </si>
  <si>
    <t>Base</t>
  </si>
  <si>
    <t>Discovery - Validate trusts/DNS/object readiness</t>
  </si>
  <si>
    <t>Validate trusts, DNS, and object readiness across domains.</t>
  </si>
  <si>
    <t>Discovery - Trust remediation (if missing)</t>
  </si>
  <si>
    <t>All required trusts present</t>
  </si>
  <si>
    <t>Risk</t>
  </si>
  <si>
    <t>Discovery - Add target DC(s) if needed</t>
  </si>
  <si>
    <t>Target DC count=1; baseline minimum=2</t>
  </si>
  <si>
    <t>Design - Validate target OU readiness</t>
  </si>
  <si>
    <t>Validate poc.local OU structure, delegation, and placement for migrated objects.</t>
  </si>
  <si>
    <t>Design &amp; Planning</t>
  </si>
  <si>
    <t>Design - GPO planning (review source GPOs; create new as needed)</t>
  </si>
  <si>
    <t>GPOs not migrated; review source GPO inventory to create required equivalents in target.</t>
  </si>
  <si>
    <t>Variable</t>
  </si>
  <si>
    <t>Design - User naming conflicts remediation planning</t>
  </si>
  <si>
    <t>User conflicts (excluded built-ins) drive mapping/rename decisions and communications.</t>
  </si>
  <si>
    <t>Design - Group naming conflicts remediation planning</t>
  </si>
  <si>
    <t>Group name collisions: reuse existing target groups if possible; rename migrated groups as needed.</t>
  </si>
  <si>
    <t>Design - Computer naming conflicts remediation planning</t>
  </si>
  <si>
    <t>Computer name collisions: pre-rename or migration rename mapping.</t>
  </si>
  <si>
    <t>Migration - User migrations (source domains)</t>
  </si>
  <si>
    <t>Enabled users in source domains to migrate.</t>
  </si>
  <si>
    <t>Migration Execution</t>
  </si>
  <si>
    <t>Migration - Group migrations (source domains)</t>
  </si>
  <si>
    <t>Groups in source domains to migrate as needed (reuse target where possible).</t>
  </si>
  <si>
    <t>Migration - Workstation migrations (active; source domains)</t>
  </si>
  <si>
    <t>Active workstations in source domains to migrate.</t>
  </si>
  <si>
    <t>Migration - Server migrations (identity-only; source domains)</t>
  </si>
  <si>
    <t>Servers in source domains (identity-only unless otherwise scoped).</t>
  </si>
  <si>
    <t>Post - Access validation &amp; remediation</t>
  </si>
  <si>
    <t>Validate user logon + resource access; remediation buffer.</t>
  </si>
  <si>
    <t>Post-Migration</t>
  </si>
  <si>
    <t>Post - Legacy domain decommissioning support</t>
  </si>
  <si>
    <t>Decommissioning support per legacy source domain (optional scope item).</t>
  </si>
  <si>
    <t>LOE by Phase (SOW-Aligned)</t>
  </si>
  <si>
    <t>Base Hours</t>
  </si>
  <si>
    <t>Variable Hours</t>
  </si>
  <si>
    <t>Risk Adders</t>
  </si>
  <si>
    <t>Notes / Drivers</t>
  </si>
  <si>
    <t>Derived from LOE Calculator (Phase + Type) to avoid mismatches</t>
  </si>
  <si>
    <t>Update counts in LOE Calculator; phases update automatically</t>
  </si>
  <si>
    <t>User/group/device migrations; pilot + waves</t>
  </si>
  <si>
    <t>Access validation; issue remediation; legacy domain decommissioning support</t>
  </si>
  <si>
    <t>TOTAL</t>
  </si>
  <si>
    <t>Pricing</t>
  </si>
  <si>
    <t>T&amp;M Rate ($/hr)</t>
  </si>
  <si>
    <t>Fixed Fee Multiplier</t>
  </si>
  <si>
    <t>T&amp;M Estimated Cost</t>
  </si>
  <si>
    <t>Fixed Fee Price</t>
  </si>
  <si>
    <t>Executive LOE Summary (for SOW)</t>
  </si>
  <si>
    <t>Project / Customer</t>
  </si>
  <si>
    <t>TBD</t>
  </si>
  <si>
    <t>Target Domain</t>
  </si>
  <si>
    <t>POC (poc.local)</t>
  </si>
  <si>
    <t>Source Domains</t>
  </si>
  <si>
    <t>LIGHTHOUSE (lighthouseoptics.local), ROSSOPTICALINDU (rossoptical.local)</t>
  </si>
  <si>
    <t>Report Date</t>
  </si>
  <si>
    <t>2026-01-09</t>
  </si>
  <si>
    <t>Environment Snapshot</t>
  </si>
  <si>
    <t>LOE Summary</t>
  </si>
  <si>
    <t>Metric</t>
  </si>
  <si>
    <t>Value</t>
  </si>
  <si>
    <t>Hours</t>
  </si>
  <si>
    <t>Enabled Users</t>
  </si>
  <si>
    <t>Active Workstations</t>
  </si>
  <si>
    <t>Servers</t>
  </si>
  <si>
    <t>Total Groups</t>
  </si>
  <si>
    <t>Target DCs</t>
  </si>
  <si>
    <t>Additional DCs Needed</t>
  </si>
  <si>
    <t>Missing Trusts (count)</t>
  </si>
  <si>
    <t>Estimated Pricing</t>
  </si>
  <si>
    <t>User Conflicts</t>
  </si>
  <si>
    <t>Group Conflicts</t>
  </si>
  <si>
    <t>Computer Conflicts</t>
  </si>
  <si>
    <t>Conflict Adder Hours</t>
  </si>
  <si>
    <t>Environment Snapshot (by Domain)</t>
  </si>
  <si>
    <t>Prefix</t>
  </si>
  <si>
    <t>Domain</t>
  </si>
  <si>
    <t>Groups</t>
  </si>
  <si>
    <t>DCs</t>
  </si>
  <si>
    <t>GPOs</t>
  </si>
  <si>
    <t>Role</t>
  </si>
  <si>
    <t>LIGHTHOUSE</t>
  </si>
  <si>
    <t>lighthouseoptics.local</t>
  </si>
  <si>
    <t>Source</t>
  </si>
  <si>
    <t>POC</t>
  </si>
  <si>
    <t>poc.local</t>
  </si>
  <si>
    <t>Target</t>
  </si>
  <si>
    <t>ROSSOPTICALINDU</t>
  </si>
  <si>
    <t>rossoptical.local</t>
  </si>
  <si>
    <t>Key Assumptions / Notes</t>
  </si>
  <si>
    <t>• Target domain exists; UPN suffix standardized in target.
• GPO approach: create new GPOs as needed (inventory used for planning).
• Trusts must exist prior to migration (flagged if missing).
• Naming conflicts add remediation effort.</t>
  </si>
  <si>
    <t>DomainFqdn</t>
  </si>
  <si>
    <t>IsTarget</t>
  </si>
  <si>
    <t>DCCount</t>
  </si>
  <si>
    <t>MeetsMinTargetDCs</t>
  </si>
  <si>
    <t>AdditionalDCsNeeded</t>
  </si>
  <si>
    <t>SourceGPOCount</t>
  </si>
  <si>
    <t>TargetHasTrustToDomain</t>
  </si>
  <si>
    <t>Notes</t>
  </si>
  <si>
    <t>Trust exists to target.</t>
  </si>
  <si>
    <t>Recommend adding 1 DC(s) to meet baseline resiliency.</t>
  </si>
  <si>
    <t>Name Conflicts (Source â†’ Target)</t>
  </si>
  <si>
    <t>Target:</t>
  </si>
  <si>
    <t>Generated:</t>
  </si>
  <si>
    <t>2026-01-13 16:34:17</t>
  </si>
  <si>
    <t>Summary:</t>
  </si>
  <si>
    <t>Detected 64 user naming conflicts; Detected 5 group naming conflicts; Detected 4 computer naming conflicts; add ~7.3 hrs for conflict remediation/communication.</t>
  </si>
  <si>
    <t>User Conflicts (sAMAccountName and/or UPN local-part)</t>
  </si>
  <si>
    <t>SourcePrefix</t>
  </si>
  <si>
    <t>SourceDomain</t>
  </si>
  <si>
    <t>ConflictType</t>
  </si>
  <si>
    <t>sAMAccountName</t>
  </si>
  <si>
    <t>UserPrincipalName</t>
  </si>
  <si>
    <t>RecommendedAction</t>
  </si>
  <si>
    <t>sAMAccountName + UPN local-part</t>
  </si>
  <si>
    <t>ConferenceRoom</t>
  </si>
  <si>
    <t>ConferenceRoom@lighthouseoptics.local</t>
  </si>
  <si>
    <t>Rename or map to existing target identity; confirm with business owner</t>
  </si>
  <si>
    <t>mskelton</t>
  </si>
  <si>
    <t>mskelton@lighthouseoptics.local</t>
  </si>
  <si>
    <t>dbennis</t>
  </si>
  <si>
    <t>dbennis@lighthouseoptics.local</t>
  </si>
  <si>
    <t>wdionne</t>
  </si>
  <si>
    <t>wdionne@lighthouseoptics.local</t>
  </si>
  <si>
    <t>KClifford</t>
  </si>
  <si>
    <t>KClifford@lighthouseoptics.local</t>
  </si>
  <si>
    <t>ahowell</t>
  </si>
  <si>
    <t>ahowell@lighthouseoptics.local</t>
  </si>
  <si>
    <t>jlenentine</t>
  </si>
  <si>
    <t>jlenentine@lighthouseoptics.local</t>
  </si>
  <si>
    <t>djacques</t>
  </si>
  <si>
    <t>djacques@lighthouseoptics.local</t>
  </si>
  <si>
    <t>tmoore</t>
  </si>
  <si>
    <t>tmoore@lighthouseoptics.local</t>
  </si>
  <si>
    <t>hhodges</t>
  </si>
  <si>
    <t>hhodges@lighthouseoptics.local</t>
  </si>
  <si>
    <t>1ntAdmin</t>
  </si>
  <si>
    <t>1ntAdmin@lighthouseoptics.local</t>
  </si>
  <si>
    <t>dchambers</t>
  </si>
  <si>
    <t>dchambers@lighthouseoptics.local</t>
  </si>
  <si>
    <t>dlauze</t>
  </si>
  <si>
    <t>dlauze@lighthouseoptics.local</t>
  </si>
  <si>
    <t>dpappalardo</t>
  </si>
  <si>
    <t>dpappalardo@lighthouseoptics.local</t>
  </si>
  <si>
    <t>ksansonetti</t>
  </si>
  <si>
    <t>ksansonetti@lighthouseoptics.local</t>
  </si>
  <si>
    <t>jhargraves</t>
  </si>
  <si>
    <t>jhargraves@lighthouseoptics.local</t>
  </si>
  <si>
    <t>mlawande</t>
  </si>
  <si>
    <t>mlawande@lighthouseoptics.local</t>
  </si>
  <si>
    <t>shaines</t>
  </si>
  <si>
    <t>shaines@lighthouseoptics.local</t>
  </si>
  <si>
    <t>jeverett</t>
  </si>
  <si>
    <t>jeverett@lighthouseoptics.local</t>
  </si>
  <si>
    <t>mspadmin</t>
  </si>
  <si>
    <t>mspadmin@lighthouseoptics.local</t>
  </si>
  <si>
    <t>LiongardAgent</t>
  </si>
  <si>
    <t>LiongardAgent@lighthouseoptics.local</t>
  </si>
  <si>
    <t>jmigacz</t>
  </si>
  <si>
    <t>jmigacz@lighthouseoptics.local</t>
  </si>
  <si>
    <t>bcapotosto</t>
  </si>
  <si>
    <t>bcapotosto@lighthouseoptics.local</t>
  </si>
  <si>
    <t>ksimeone</t>
  </si>
  <si>
    <t>ksimeone@lighthouseoptics.local</t>
  </si>
  <si>
    <t>khealy</t>
  </si>
  <si>
    <t>khealy@lighthouseoptics.local</t>
  </si>
  <si>
    <t>pcesaitis</t>
  </si>
  <si>
    <t>pcesaitis@lighthouseoptics.local</t>
  </si>
  <si>
    <t>mcafferty</t>
  </si>
  <si>
    <t>mcafferty@lighthouseoptics.local</t>
  </si>
  <si>
    <t>EGengler</t>
  </si>
  <si>
    <t>EGengler@lighthouseoptics.local</t>
  </si>
  <si>
    <t>jforkey</t>
  </si>
  <si>
    <t>jforkey@lighthouseoptics.local</t>
  </si>
  <si>
    <t>shallinan</t>
  </si>
  <si>
    <t>shallinan@lighthouseoptics.local</t>
  </si>
  <si>
    <t>snguyen</t>
  </si>
  <si>
    <t>snguyen@lighthouseoptics.local</t>
  </si>
  <si>
    <t>dgillis</t>
  </si>
  <si>
    <t>dgillis@lighthouseoptics.local</t>
  </si>
  <si>
    <t>bmartowska</t>
  </si>
  <si>
    <t>bmartowska@lighthouseoptics.local</t>
  </si>
  <si>
    <t>kcollins</t>
  </si>
  <si>
    <t>kcollins@lighthouseoptics.local</t>
  </si>
  <si>
    <t>bnicholson</t>
  </si>
  <si>
    <t>bnicholson@lighthouseoptics.local</t>
  </si>
  <si>
    <t>TDlugasz</t>
  </si>
  <si>
    <t>TDlugasz@lighthouseoptics.local</t>
  </si>
  <si>
    <t>sihallinan</t>
  </si>
  <si>
    <t>sihallinan@lighthouseoptics.local</t>
  </si>
  <si>
    <t>csorel_zz</t>
  </si>
  <si>
    <t>csorel_zz@lighthouseoptics.local</t>
  </si>
  <si>
    <t>hmurray_zz</t>
  </si>
  <si>
    <t>hmurray_zz@lighthouseoptics.local</t>
  </si>
  <si>
    <t>dthomas_zz</t>
  </si>
  <si>
    <t>dthomas_zz@lighthouseoptics.local</t>
  </si>
  <si>
    <t>scarter</t>
  </si>
  <si>
    <t>scarter@lighthouseoptics.local</t>
  </si>
  <si>
    <t>csheehan_zz</t>
  </si>
  <si>
    <t>csheehan_zz@lighthouseoptics.local</t>
  </si>
  <si>
    <t>jmar_zz</t>
  </si>
  <si>
    <t>jmar_zz@lighthouseoptics.local</t>
  </si>
  <si>
    <t>econtreras_zz</t>
  </si>
  <si>
    <t>econtreras_zz@lighthouseoptics.local</t>
  </si>
  <si>
    <t>hweinman_zz</t>
  </si>
  <si>
    <t>hweinman_zz@lighthouseoptics.local</t>
  </si>
  <si>
    <t>BatmanUser</t>
  </si>
  <si>
    <t>BatmanUser@lighthouseoptics.local</t>
  </si>
  <si>
    <t>vmello_zz</t>
  </si>
  <si>
    <t>vmello_zz@lighthouseoptics.local</t>
  </si>
  <si>
    <t>zjohns_zz</t>
  </si>
  <si>
    <t>zjohns_zz@lighthouseoptics.local</t>
  </si>
  <si>
    <t>hboal_zz</t>
  </si>
  <si>
    <t>hboal_zz@lighthouseoptics.local</t>
  </si>
  <si>
    <t>plagana_zz</t>
  </si>
  <si>
    <t>plagana_zz@lighthouseoptics.local</t>
  </si>
  <si>
    <t>1ntadmin</t>
  </si>
  <si>
    <t>1ntadmin@rossoptical.local</t>
  </si>
  <si>
    <t>mspadmin@rossoptical.local</t>
  </si>
  <si>
    <t>LiongardAgent@rossoptical.local</t>
  </si>
  <si>
    <t>csorel_zz@rossoptical.local</t>
  </si>
  <si>
    <t>dthomas_zz@rossoptical.local</t>
  </si>
  <si>
    <t>hmurray_zz@rossoptical.local</t>
  </si>
  <si>
    <t>csheehan_zz@rossoptical.local</t>
  </si>
  <si>
    <t>jmar_zz@rossoptical.local</t>
  </si>
  <si>
    <t>econtreras_zz@rossoptical.local</t>
  </si>
  <si>
    <t>hweinman_zz@rossoptical.local</t>
  </si>
  <si>
    <t>vmello_zz@rossoptical.local</t>
  </si>
  <si>
    <t>zjohns_zz@rossoptical.local</t>
  </si>
  <si>
    <t>hboal_zz@rossoptical.local</t>
  </si>
  <si>
    <t>plagana_zz@rossoptical.local</t>
  </si>
  <si>
    <t>Group Conflicts (name collisions)</t>
  </si>
  <si>
    <t>GroupName</t>
  </si>
  <si>
    <t>Sales</t>
  </si>
  <si>
    <t>Reuse existing target group if equivalent; otherwise rename migrated group</t>
  </si>
  <si>
    <t>Purchasing</t>
  </si>
  <si>
    <t>Shipping</t>
  </si>
  <si>
    <t>SSLVPN</t>
  </si>
  <si>
    <t>EPDM Users</t>
  </si>
  <si>
    <t>Computer Conflicts (name collisions)</t>
  </si>
  <si>
    <t>ComputerName</t>
  </si>
  <si>
    <t>POC-LT-42</t>
  </si>
  <si>
    <t>Rename device prior to domain move or apply migration rename mapping</t>
  </si>
  <si>
    <t>POC-DERVISH-01</t>
  </si>
  <si>
    <t>POC-LT-24</t>
  </si>
  <si>
    <t>POC-DERVISH-04</t>
  </si>
  <si>
    <t>LOE Assumptions (generated by automation)</t>
  </si>
  <si>
    <t>Audit CSV:</t>
  </si>
  <si>
    <t>C:\Users\paull\OneDrive - Lagana Consulting\scripts\LOE calculator\outputs\PrecisionOptics_AD_Migration_LOE_Audit_20260113_163416.csv</t>
  </si>
  <si>
    <t>- Target domain is existing (poc.local). Name collisions expected; UPN suffix standardized (@poc.local).</t>
  </si>
  <si>
    <t>- Target DC baseline: minimum 2 DCs. Target currently reports 1 DC(s).</t>
  </si>
  <si>
    <t>- GPO strategy: do not migrate GPOs; create new GPOs as required. Source GPO inventory used for planning only.</t>
  </si>
  <si>
    <t>- Trust readiness: trusts should exist between target and each source domain before ADMT-style migrations.</t>
  </si>
  <si>
    <t>- Users count = enabled users. Active workstations = enabled non-server OS with Logon within 30 days of ReportDate (2026-01-09).</t>
  </si>
  <si>
    <t>- Servers = computers where OperatingSystem contains 'Server' (identity-only unless otherwise scoped).</t>
  </si>
  <si>
    <t>- Naming conflicts are derived from sourceâ†’target comparisons: user sAMAccountName + UPN local-part; group and computer names.</t>
  </si>
  <si>
    <t>- Conflict remediation LOE adders: user=0.1h, group=0.1h, computer=0.1h. Current add=~7.3h.</t>
  </si>
  <si>
    <t>- Audit CSV is generated each run for traceability.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</si>
</sst>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/>
    </xf>
    <xf numFmtId="0" fontId="3" fillId="0" borderId="0" xfId="0" applyFont="1"/>
    <xf numFmtId="0" fontId="1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0" fontId="1" fillId="0" borderId="0" xfId="0" applyFont="1" applyAlignment="1">
      <alignment vertical="center"/>
    </xf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A18" sqref="A18"/>
    </sheetView>
  </sheetViews>
  <sheetFormatPr defaultRowHeight="15" x14ac:dyDescent="0.25"/>
  <cols>
    <col min="1" max="1" width="60" customWidth="1"/>
    <col min="2" max="3" width="16" customWidth="1"/>
    <col min="4" max="4" width="14" customWidth="1"/>
    <col min="5" max="5" width="60" customWidth="1"/>
    <col min="6" max="6" width="22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6" t="s">
        <v>7</v>
      </c>
      <c r="B2" s="16">
        <v>1</v>
      </c>
      <c r="C2" s="16">
        <v>6</v>
      </c>
      <c r="D2" s="16">
        <f t="shared" ref="D2:D16" si="0">B2*C2</f>
        <v>6</v>
      </c>
      <c r="E2" s="16" t="s">
        <v>8</v>
      </c>
      <c r="F2" s="16" t="s">
        <v>9</v>
      </c>
      <c r="G2" s="16" t="s">
        <v>10</v>
      </c>
    </row>
    <row r="3" spans="1:7" x14ac:dyDescent="0.25">
      <c r="A3" s="16" t="s">
        <v>11</v>
      </c>
      <c r="B3" s="16">
        <v>1</v>
      </c>
      <c r="C3" s="16">
        <v>6</v>
      </c>
      <c r="D3" s="16">
        <f t="shared" si="0"/>
        <v>6</v>
      </c>
      <c r="E3" s="16" t="s">
        <v>12</v>
      </c>
      <c r="F3" s="16" t="s">
        <v>9</v>
      </c>
      <c r="G3" s="16" t="s">
        <v>10</v>
      </c>
    </row>
    <row r="4" spans="1:7" x14ac:dyDescent="0.25">
      <c r="A4" s="16" t="s">
        <v>13</v>
      </c>
      <c r="B4" s="16">
        <v>0</v>
      </c>
      <c r="C4" s="16">
        <v>2</v>
      </c>
      <c r="D4" s="16">
        <f t="shared" si="0"/>
        <v>0</v>
      </c>
      <c r="E4" s="16" t="s">
        <v>14</v>
      </c>
      <c r="F4" s="16" t="s">
        <v>9</v>
      </c>
      <c r="G4" s="16" t="s">
        <v>15</v>
      </c>
    </row>
    <row r="5" spans="1:7" x14ac:dyDescent="0.25">
      <c r="A5" s="16" t="s">
        <v>16</v>
      </c>
      <c r="B5" s="16">
        <v>1</v>
      </c>
      <c r="C5" s="16">
        <v>6</v>
      </c>
      <c r="D5" s="16">
        <f t="shared" si="0"/>
        <v>6</v>
      </c>
      <c r="E5" s="16" t="s">
        <v>17</v>
      </c>
      <c r="F5" s="16" t="s">
        <v>9</v>
      </c>
      <c r="G5" s="16" t="s">
        <v>15</v>
      </c>
    </row>
    <row r="6" spans="1:7" x14ac:dyDescent="0.25">
      <c r="A6" s="16" t="s">
        <v>18</v>
      </c>
      <c r="B6" s="16">
        <v>1</v>
      </c>
      <c r="C6" s="16">
        <v>4</v>
      </c>
      <c r="D6" s="16">
        <f t="shared" si="0"/>
        <v>4</v>
      </c>
      <c r="E6" s="16" t="s">
        <v>19</v>
      </c>
      <c r="F6" s="16" t="s">
        <v>20</v>
      </c>
      <c r="G6" s="16" t="s">
        <v>10</v>
      </c>
    </row>
    <row r="7" spans="1:7" x14ac:dyDescent="0.25">
      <c r="A7" s="16" t="s">
        <v>21</v>
      </c>
      <c r="B7" s="16">
        <v>15</v>
      </c>
      <c r="C7" s="16">
        <v>0.2</v>
      </c>
      <c r="D7" s="16">
        <f t="shared" si="0"/>
        <v>3</v>
      </c>
      <c r="E7" s="16" t="s">
        <v>22</v>
      </c>
      <c r="F7" s="16" t="s">
        <v>20</v>
      </c>
      <c r="G7" s="16" t="s">
        <v>23</v>
      </c>
    </row>
    <row r="8" spans="1:7" x14ac:dyDescent="0.25">
      <c r="A8" s="16" t="s">
        <v>24</v>
      </c>
      <c r="B8" s="16">
        <v>64</v>
      </c>
      <c r="C8" s="16">
        <v>0.1</v>
      </c>
      <c r="D8" s="16">
        <f t="shared" si="0"/>
        <v>6.4</v>
      </c>
      <c r="E8" s="16" t="s">
        <v>25</v>
      </c>
      <c r="F8" s="16" t="s">
        <v>20</v>
      </c>
      <c r="G8" s="16" t="s">
        <v>15</v>
      </c>
    </row>
    <row r="9" spans="1:7" x14ac:dyDescent="0.25">
      <c r="A9" s="16" t="s">
        <v>26</v>
      </c>
      <c r="B9" s="16">
        <v>5</v>
      </c>
      <c r="C9" s="16">
        <v>0.1</v>
      </c>
      <c r="D9" s="16">
        <f t="shared" si="0"/>
        <v>0.5</v>
      </c>
      <c r="E9" s="16" t="s">
        <v>27</v>
      </c>
      <c r="F9" s="16" t="s">
        <v>20</v>
      </c>
      <c r="G9" s="16" t="s">
        <v>15</v>
      </c>
    </row>
    <row r="10" spans="1:7" x14ac:dyDescent="0.25">
      <c r="A10" s="16" t="s">
        <v>28</v>
      </c>
      <c r="B10" s="16">
        <v>4</v>
      </c>
      <c r="C10" s="16">
        <v>0.1</v>
      </c>
      <c r="D10" s="16">
        <f t="shared" si="0"/>
        <v>0.4</v>
      </c>
      <c r="E10" s="16" t="s">
        <v>29</v>
      </c>
      <c r="F10" s="16" t="s">
        <v>20</v>
      </c>
      <c r="G10" s="16" t="s">
        <v>15</v>
      </c>
    </row>
    <row r="11" spans="1:7" x14ac:dyDescent="0.25">
      <c r="A11" s="16" t="s">
        <v>30</v>
      </c>
      <c r="B11" s="16">
        <v>129</v>
      </c>
      <c r="C11" s="16">
        <v>0.15</v>
      </c>
      <c r="D11" s="16">
        <f t="shared" si="0"/>
        <v>19.349999999999998</v>
      </c>
      <c r="E11" s="16" t="s">
        <v>31</v>
      </c>
      <c r="F11" s="16" t="s">
        <v>32</v>
      </c>
      <c r="G11" s="16" t="s">
        <v>23</v>
      </c>
    </row>
    <row r="12" spans="1:7" x14ac:dyDescent="0.25">
      <c r="A12" s="16" t="s">
        <v>33</v>
      </c>
      <c r="B12" s="16">
        <v>168</v>
      </c>
      <c r="C12" s="16">
        <v>0.05</v>
      </c>
      <c r="D12" s="16">
        <f t="shared" si="0"/>
        <v>8.4</v>
      </c>
      <c r="E12" s="16" t="s">
        <v>34</v>
      </c>
      <c r="F12" s="16" t="s">
        <v>32</v>
      </c>
      <c r="G12" s="16" t="s">
        <v>23</v>
      </c>
    </row>
    <row r="13" spans="1:7" x14ac:dyDescent="0.25">
      <c r="A13" s="16" t="s">
        <v>35</v>
      </c>
      <c r="B13" s="16">
        <v>40</v>
      </c>
      <c r="C13" s="16">
        <v>0.25</v>
      </c>
      <c r="D13" s="16">
        <f t="shared" si="0"/>
        <v>10</v>
      </c>
      <c r="E13" s="16" t="s">
        <v>36</v>
      </c>
      <c r="F13" s="16" t="s">
        <v>32</v>
      </c>
      <c r="G13" s="16" t="s">
        <v>23</v>
      </c>
    </row>
    <row r="14" spans="1:7" x14ac:dyDescent="0.25">
      <c r="A14" s="16" t="s">
        <v>37</v>
      </c>
      <c r="B14" s="16">
        <v>9</v>
      </c>
      <c r="C14" s="16">
        <v>0.1</v>
      </c>
      <c r="D14" s="16">
        <f t="shared" si="0"/>
        <v>0.9</v>
      </c>
      <c r="E14" s="16" t="s">
        <v>38</v>
      </c>
      <c r="F14" s="16" t="s">
        <v>32</v>
      </c>
      <c r="G14" s="16" t="s">
        <v>23</v>
      </c>
    </row>
    <row r="15" spans="1:7" x14ac:dyDescent="0.25">
      <c r="A15" s="16" t="s">
        <v>39</v>
      </c>
      <c r="B15" s="16">
        <v>169</v>
      </c>
      <c r="C15" s="16">
        <v>0.05</v>
      </c>
      <c r="D15" s="16">
        <f t="shared" si="0"/>
        <v>8.4500000000000011</v>
      </c>
      <c r="E15" s="16" t="s">
        <v>40</v>
      </c>
      <c r="F15" s="16" t="s">
        <v>41</v>
      </c>
      <c r="G15" s="16" t="s">
        <v>23</v>
      </c>
    </row>
    <row r="16" spans="1:7" x14ac:dyDescent="0.25">
      <c r="A16" s="16" t="s">
        <v>42</v>
      </c>
      <c r="B16" s="16">
        <v>2</v>
      </c>
      <c r="C16" s="16">
        <v>2</v>
      </c>
      <c r="D16" s="16">
        <f t="shared" si="0"/>
        <v>4</v>
      </c>
      <c r="E16" s="16" t="s">
        <v>43</v>
      </c>
      <c r="F16" s="16" t="s">
        <v>41</v>
      </c>
      <c r="G16" s="16" t="s">
        <v>10</v>
      </c>
    </row>
    <row r="17" spans="1:7" x14ac:dyDescent="0.25">
      <c r="A17" s="16"/>
      <c r="B17" s="16"/>
      <c r="C17" s="1" t="s">
        <v>3</v>
      </c>
      <c r="D17" s="16">
        <f>SUM(D2:D16)</f>
        <v>83.399999999999991</v>
      </c>
      <c r="E17" s="16"/>
      <c r="F17" s="16"/>
      <c r="G17" s="16"/>
    </row>
    <row r="18" spans="1:7" x14ac:dyDescent="0.25">
      <c r="A18" s="16"/>
      <c r="B18" s="16"/>
      <c r="C18" s="16"/>
      <c r="D18" s="16"/>
      <c r="E18" s="16"/>
      <c r="F18" s="16"/>
      <c r="G18" s="16"/>
    </row>
    <row r="19" spans="1:7" x14ac:dyDescent="0.25">
      <c r="A19" s="16"/>
      <c r="B19" s="16"/>
      <c r="C19" s="16"/>
      <c r="D19" s="16"/>
      <c r="E19" s="16"/>
      <c r="F19" s="16"/>
      <c r="G19" s="16"/>
    </row>
    <row r="20" spans="1:7" x14ac:dyDescent="0.25">
      <c r="A20" s="16"/>
      <c r="B20" s="16"/>
      <c r="C20" s="16"/>
      <c r="D20" s="16"/>
      <c r="E20" s="16"/>
      <c r="F20" s="16"/>
      <c r="G20" s="16"/>
    </row>
    <row r="21" spans="1:7" x14ac:dyDescent="0.25">
      <c r="A21" s="16"/>
      <c r="B21" s="16"/>
      <c r="C21" s="16"/>
      <c r="D21" s="16"/>
      <c r="E21" s="16"/>
      <c r="F21" s="16"/>
      <c r="G21" s="16"/>
    </row>
    <row r="22" spans="1:7" x14ac:dyDescent="0.25">
      <c r="A22" s="16"/>
      <c r="B22" s="16"/>
      <c r="C22" s="16"/>
      <c r="D22" s="16"/>
      <c r="E22" s="16"/>
      <c r="F22" s="16"/>
      <c r="G22" s="16"/>
    </row>
    <row r="23" spans="1:7" x14ac:dyDescent="0.25">
      <c r="A23" s="16"/>
      <c r="B23" s="16"/>
      <c r="C23" s="16"/>
      <c r="D23" s="16"/>
      <c r="E23" s="16"/>
      <c r="F23" s="16"/>
      <c r="G23" s="16"/>
    </row>
    <row r="24" spans="1:7" x14ac:dyDescent="0.25">
      <c r="A24" s="16"/>
      <c r="B24" s="16"/>
      <c r="C24" s="16"/>
      <c r="D24" s="16"/>
      <c r="E24" s="16"/>
      <c r="F24" s="16"/>
      <c r="G24" s="16"/>
    </row>
    <row r="25" spans="1:7" x14ac:dyDescent="0.25">
      <c r="A25" s="16"/>
      <c r="B25" s="16"/>
      <c r="C25" s="16"/>
      <c r="D25" s="16"/>
      <c r="E25" s="16"/>
      <c r="F25" s="16"/>
      <c r="G25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selection activeCell="A17" sqref="A17"/>
    </sheetView>
  </sheetViews>
  <sheetFormatPr defaultRowHeight="15" x14ac:dyDescent="0.25"/>
  <cols>
    <col min="1" max="1" width="28" customWidth="1"/>
    <col min="2" max="2" width="12" customWidth="1"/>
    <col min="3" max="3" width="14" customWidth="1"/>
    <col min="4" max="5" width="12" customWidth="1"/>
    <col min="6" max="6" width="55" customWidth="1"/>
  </cols>
  <sheetData>
    <row r="1" spans="1:6" ht="18.75" x14ac:dyDescent="0.3">
      <c r="A1" s="2" t="s">
        <v>44</v>
      </c>
    </row>
    <row r="3" spans="1:6" ht="30" x14ac:dyDescent="0.25">
      <c r="A3" s="3" t="s">
        <v>5</v>
      </c>
      <c r="B3" s="3" t="s">
        <v>45</v>
      </c>
      <c r="C3" s="3" t="s">
        <v>46</v>
      </c>
      <c r="D3" s="3" t="s">
        <v>47</v>
      </c>
      <c r="E3" s="3" t="s">
        <v>3</v>
      </c>
      <c r="F3" s="3" t="s">
        <v>48</v>
      </c>
    </row>
    <row r="4" spans="1:6" ht="30" x14ac:dyDescent="0.25">
      <c r="A4" s="4" t="s">
        <v>9</v>
      </c>
      <c r="B4" s="5">
        <v>8</v>
      </c>
      <c r="C4" s="5">
        <f>SUMIFS('LOE Calculator'!$D:$D,'LOE Calculator'!$F:$F,$A4,'LOE Calculator'!$G:$G,"Variable")</f>
        <v>0</v>
      </c>
      <c r="D4" s="5">
        <f>SUMIFS('LOE Calculator'!$D:$D,'LOE Calculator'!$F:$F,$A4,'LOE Calculator'!$G:$G,"Risk")</f>
        <v>6</v>
      </c>
      <c r="E4" s="5">
        <f>SUM(B4:D4)</f>
        <v>14</v>
      </c>
      <c r="F4" s="4" t="s">
        <v>49</v>
      </c>
    </row>
    <row r="5" spans="1:6" ht="30" x14ac:dyDescent="0.25">
      <c r="A5" s="4" t="s">
        <v>20</v>
      </c>
      <c r="B5" s="5">
        <v>8</v>
      </c>
      <c r="C5" s="5">
        <f>SUMIFS('LOE Calculator'!$D:$D,'LOE Calculator'!$F:$F,$A5,'LOE Calculator'!$G:$G,"Variable")</f>
        <v>3</v>
      </c>
      <c r="D5" s="5">
        <f>SUMIFS('LOE Calculator'!$D:$D,'LOE Calculator'!$F:$F,$A5,'LOE Calculator'!$G:$G,"Risk")</f>
        <v>7.3000000000000007</v>
      </c>
      <c r="E5" s="5">
        <f>SUM(B5:D5)</f>
        <v>18.3</v>
      </c>
      <c r="F5" s="4" t="s">
        <v>50</v>
      </c>
    </row>
    <row r="6" spans="1:6" x14ac:dyDescent="0.25">
      <c r="A6" s="4" t="s">
        <v>32</v>
      </c>
      <c r="B6" s="5">
        <f>SUMIFS('LOE Calculator'!$D:$D,'LOE Calculator'!$F:$F,$A6,'LOE Calculator'!$G:$G,"Base")</f>
        <v>0</v>
      </c>
      <c r="C6" s="5">
        <f>SUMIFS('LOE Calculator'!$D:$D,'LOE Calculator'!$F:$F,$A6,'LOE Calculator'!$G:$G,"Variable")</f>
        <v>38.65</v>
      </c>
      <c r="D6" s="5">
        <f>SUMIFS('LOE Calculator'!$D:$D,'LOE Calculator'!$F:$F,$A6,'LOE Calculator'!$G:$G,"Risk")</f>
        <v>0</v>
      </c>
      <c r="E6" s="5">
        <f>SUM(B6:D6)</f>
        <v>38.65</v>
      </c>
      <c r="F6" s="4" t="s">
        <v>51</v>
      </c>
    </row>
    <row r="7" spans="1:6" ht="30" x14ac:dyDescent="0.25">
      <c r="A7" s="4" t="s">
        <v>41</v>
      </c>
      <c r="B7" s="5">
        <f>SUMIFS('LOE Calculator'!$D:$D,'LOE Calculator'!$F:$F,$A7,'LOE Calculator'!$G:$G,"Base")</f>
        <v>4</v>
      </c>
      <c r="C7" s="5">
        <f>SUMIFS('LOE Calculator'!$D:$D,'LOE Calculator'!$F:$F,$A7,'LOE Calculator'!$G:$G,"Variable")</f>
        <v>8.4500000000000011</v>
      </c>
      <c r="D7" s="5">
        <f>SUMIFS('LOE Calculator'!$D:$D,'LOE Calculator'!$F:$F,$A7,'LOE Calculator'!$G:$G,"Risk")</f>
        <v>0</v>
      </c>
      <c r="E7" s="5">
        <f>SUM(B7:D7)</f>
        <v>12.450000000000001</v>
      </c>
      <c r="F7" s="4" t="s">
        <v>52</v>
      </c>
    </row>
    <row r="8" spans="1:6" x14ac:dyDescent="0.25">
      <c r="A8" s="6" t="s">
        <v>53</v>
      </c>
      <c r="B8" s="7">
        <f>SUM(B4:B7)</f>
        <v>20</v>
      </c>
      <c r="C8" s="7">
        <f>SUM(C4:C7)</f>
        <v>50.1</v>
      </c>
      <c r="D8" s="7">
        <f>SUM(D4:D7)</f>
        <v>13.3</v>
      </c>
      <c r="E8" s="7">
        <f>SUM(E4:E7)</f>
        <v>83.399999999999991</v>
      </c>
      <c r="F8" s="4"/>
    </row>
    <row r="10" spans="1:6" ht="15.75" x14ac:dyDescent="0.25">
      <c r="A10" s="8" t="s">
        <v>54</v>
      </c>
    </row>
    <row r="11" spans="1:6" x14ac:dyDescent="0.25">
      <c r="A11" s="9" t="s">
        <v>55</v>
      </c>
      <c r="B11" s="10">
        <v>0</v>
      </c>
    </row>
    <row r="12" spans="1:6" x14ac:dyDescent="0.25">
      <c r="A12" s="9" t="s">
        <v>56</v>
      </c>
      <c r="B12" s="11">
        <v>1.1499999999999999</v>
      </c>
    </row>
    <row r="13" spans="1:6" x14ac:dyDescent="0.25">
      <c r="A13" s="9" t="s">
        <v>57</v>
      </c>
      <c r="B13" s="10">
        <f>E8*B11</f>
        <v>0</v>
      </c>
    </row>
    <row r="14" spans="1:6" x14ac:dyDescent="0.25">
      <c r="A14" s="9" t="s">
        <v>58</v>
      </c>
      <c r="B14" s="10">
        <f>E8*B11*B12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A30" sqref="A30:E30"/>
    </sheetView>
  </sheetViews>
  <sheetFormatPr defaultRowHeight="15" x14ac:dyDescent="0.25"/>
  <cols>
    <col min="1" max="1" width="41" bestFit="1" customWidth="1"/>
    <col min="2" max="2" width="26" customWidth="1"/>
    <col min="3" max="3" width="14" customWidth="1"/>
    <col min="4" max="4" width="20" customWidth="1"/>
    <col min="5" max="5" width="10" customWidth="1"/>
    <col min="6" max="6" width="12" customWidth="1"/>
    <col min="7" max="8" width="8" customWidth="1"/>
    <col min="9" max="9" width="10" customWidth="1"/>
  </cols>
  <sheetData>
    <row r="1" spans="1:5" ht="18.75" x14ac:dyDescent="0.3">
      <c r="A1" s="2" t="s">
        <v>59</v>
      </c>
    </row>
    <row r="3" spans="1:5" x14ac:dyDescent="0.25">
      <c r="A3" s="12" t="s">
        <v>60</v>
      </c>
      <c r="B3" t="s">
        <v>61</v>
      </c>
    </row>
    <row r="4" spans="1:5" x14ac:dyDescent="0.25">
      <c r="A4" s="12" t="s">
        <v>62</v>
      </c>
      <c r="B4" t="s">
        <v>63</v>
      </c>
    </row>
    <row r="5" spans="1:5" x14ac:dyDescent="0.25">
      <c r="A5" s="12" t="s">
        <v>64</v>
      </c>
      <c r="B5" t="s">
        <v>65</v>
      </c>
    </row>
    <row r="6" spans="1:5" x14ac:dyDescent="0.25">
      <c r="A6" s="12" t="s">
        <v>66</v>
      </c>
      <c r="B6" t="s">
        <v>67</v>
      </c>
    </row>
    <row r="8" spans="1:5" ht="15.75" x14ac:dyDescent="0.25">
      <c r="A8" s="8" t="s">
        <v>68</v>
      </c>
      <c r="D8" s="8" t="s">
        <v>69</v>
      </c>
    </row>
    <row r="9" spans="1:5" x14ac:dyDescent="0.25">
      <c r="A9" s="13" t="s">
        <v>70</v>
      </c>
      <c r="B9" s="13" t="s">
        <v>71</v>
      </c>
      <c r="D9" s="13" t="s">
        <v>5</v>
      </c>
      <c r="E9" s="13" t="s">
        <v>72</v>
      </c>
    </row>
    <row r="10" spans="1:5" x14ac:dyDescent="0.25">
      <c r="A10" s="14" t="s">
        <v>73</v>
      </c>
      <c r="B10" s="14">
        <v>233</v>
      </c>
      <c r="D10" s="14" t="s">
        <v>9</v>
      </c>
      <c r="E10" s="14">
        <f>'LOE by Phase'!E4</f>
        <v>14</v>
      </c>
    </row>
    <row r="11" spans="1:5" x14ac:dyDescent="0.25">
      <c r="A11" s="14" t="s">
        <v>74</v>
      </c>
      <c r="B11" s="14">
        <v>120</v>
      </c>
      <c r="D11" s="14" t="s">
        <v>20</v>
      </c>
      <c r="E11" s="14">
        <f>'LOE by Phase'!E5</f>
        <v>18.3</v>
      </c>
    </row>
    <row r="12" spans="1:5" x14ac:dyDescent="0.25">
      <c r="A12" s="14" t="s">
        <v>75</v>
      </c>
      <c r="B12" s="14">
        <v>13</v>
      </c>
      <c r="D12" s="14" t="s">
        <v>32</v>
      </c>
      <c r="E12" s="14">
        <f>'LOE by Phase'!E6</f>
        <v>38.65</v>
      </c>
    </row>
    <row r="13" spans="1:5" x14ac:dyDescent="0.25">
      <c r="A13" s="14" t="s">
        <v>76</v>
      </c>
      <c r="B13" s="14">
        <v>320</v>
      </c>
      <c r="D13" s="14" t="s">
        <v>41</v>
      </c>
      <c r="E13" s="14">
        <f>'LOE by Phase'!E7</f>
        <v>12.450000000000001</v>
      </c>
    </row>
    <row r="14" spans="1:5" x14ac:dyDescent="0.25">
      <c r="A14" s="14" t="s">
        <v>77</v>
      </c>
      <c r="B14" s="14">
        <v>1</v>
      </c>
      <c r="D14" s="14" t="s">
        <v>53</v>
      </c>
      <c r="E14" s="14">
        <f>'LOE by Phase'!E8</f>
        <v>83.399999999999991</v>
      </c>
    </row>
    <row r="15" spans="1:5" x14ac:dyDescent="0.25">
      <c r="A15" s="14" t="s">
        <v>78</v>
      </c>
      <c r="B15" s="14">
        <v>1</v>
      </c>
    </row>
    <row r="16" spans="1:5" ht="15.75" x14ac:dyDescent="0.25">
      <c r="A16" s="14" t="s">
        <v>79</v>
      </c>
      <c r="B16" s="14">
        <v>0</v>
      </c>
      <c r="D16" s="8" t="s">
        <v>80</v>
      </c>
    </row>
    <row r="17" spans="1:9" x14ac:dyDescent="0.25">
      <c r="A17" s="14" t="s">
        <v>81</v>
      </c>
      <c r="B17" s="14">
        <v>64</v>
      </c>
      <c r="D17" s="9" t="s">
        <v>55</v>
      </c>
      <c r="E17" s="10">
        <f>'LOE by Phase'!B11</f>
        <v>0</v>
      </c>
    </row>
    <row r="18" spans="1:9" x14ac:dyDescent="0.25">
      <c r="A18" s="14" t="s">
        <v>82</v>
      </c>
      <c r="B18" s="14">
        <v>5</v>
      </c>
      <c r="D18" s="9" t="s">
        <v>57</v>
      </c>
      <c r="E18" s="10">
        <f>'LOE by Phase'!B13</f>
        <v>0</v>
      </c>
    </row>
    <row r="19" spans="1:9" x14ac:dyDescent="0.25">
      <c r="A19" s="14" t="s">
        <v>83</v>
      </c>
      <c r="B19" s="14">
        <v>4</v>
      </c>
      <c r="D19" s="9" t="s">
        <v>56</v>
      </c>
      <c r="E19" s="11">
        <f>'LOE by Phase'!B12</f>
        <v>1.1499999999999999</v>
      </c>
    </row>
    <row r="20" spans="1:9" x14ac:dyDescent="0.25">
      <c r="A20" s="14" t="s">
        <v>84</v>
      </c>
      <c r="B20" s="14">
        <v>7.3</v>
      </c>
      <c r="D20" s="9" t="s">
        <v>58</v>
      </c>
      <c r="E20" s="10">
        <f>'LOE by Phase'!B14</f>
        <v>0</v>
      </c>
    </row>
    <row r="22" spans="1:9" x14ac:dyDescent="0.25">
      <c r="A22" s="1" t="s">
        <v>85</v>
      </c>
    </row>
    <row r="23" spans="1:9" x14ac:dyDescent="0.25">
      <c r="A23" s="1" t="s">
        <v>86</v>
      </c>
      <c r="B23" s="1" t="s">
        <v>87</v>
      </c>
      <c r="C23" s="1" t="s">
        <v>73</v>
      </c>
      <c r="D23" s="1" t="s">
        <v>74</v>
      </c>
      <c r="E23" s="1" t="s">
        <v>75</v>
      </c>
      <c r="F23" s="1" t="s">
        <v>88</v>
      </c>
      <c r="G23" s="1" t="s">
        <v>89</v>
      </c>
      <c r="H23" s="1" t="s">
        <v>90</v>
      </c>
      <c r="I23" s="1" t="s">
        <v>91</v>
      </c>
    </row>
    <row r="24" spans="1:9" ht="69.95" customHeight="1" x14ac:dyDescent="0.25">
      <c r="A24" s="15" t="s">
        <v>92</v>
      </c>
      <c r="B24" t="s">
        <v>93</v>
      </c>
      <c r="C24">
        <v>86</v>
      </c>
      <c r="D24">
        <v>18</v>
      </c>
      <c r="E24">
        <v>3</v>
      </c>
      <c r="F24">
        <v>112</v>
      </c>
      <c r="G24">
        <v>1</v>
      </c>
      <c r="H24">
        <v>9</v>
      </c>
      <c r="I24" t="s">
        <v>94</v>
      </c>
    </row>
    <row r="25" spans="1:9" x14ac:dyDescent="0.25">
      <c r="A25" t="s">
        <v>95</v>
      </c>
      <c r="B25" t="s">
        <v>96</v>
      </c>
      <c r="C25">
        <v>104</v>
      </c>
      <c r="D25">
        <v>80</v>
      </c>
      <c r="E25">
        <v>4</v>
      </c>
      <c r="F25">
        <v>152</v>
      </c>
      <c r="G25">
        <v>1</v>
      </c>
      <c r="H25">
        <v>4</v>
      </c>
      <c r="I25" t="s">
        <v>97</v>
      </c>
    </row>
    <row r="26" spans="1:9" x14ac:dyDescent="0.25">
      <c r="A26" t="s">
        <v>98</v>
      </c>
      <c r="B26" t="s">
        <v>99</v>
      </c>
      <c r="C26">
        <v>43</v>
      </c>
      <c r="D26">
        <v>22</v>
      </c>
      <c r="E26">
        <v>6</v>
      </c>
      <c r="F26">
        <v>56</v>
      </c>
      <c r="G26">
        <v>1</v>
      </c>
      <c r="H26">
        <v>6</v>
      </c>
      <c r="I26" t="s">
        <v>94</v>
      </c>
    </row>
    <row r="27" spans="1:9" x14ac:dyDescent="0.25">
      <c r="A27" t="s">
        <v>53</v>
      </c>
      <c r="C27">
        <v>233</v>
      </c>
      <c r="D27">
        <v>120</v>
      </c>
      <c r="E27">
        <v>13</v>
      </c>
      <c r="F27">
        <v>320</v>
      </c>
    </row>
    <row r="29" spans="1:9" x14ac:dyDescent="0.25">
      <c r="A29" s="1" t="s">
        <v>100</v>
      </c>
    </row>
    <row r="30" spans="1:9" ht="80.099999999999994" customHeight="1" x14ac:dyDescent="0.25">
      <c r="A30" s="18" t="s">
        <v>101</v>
      </c>
      <c r="B30" s="19"/>
      <c r="C30" s="19"/>
      <c r="D30" s="19"/>
      <c r="E30" s="19"/>
    </row>
  </sheetData>
  <mergeCells count="1">
    <mergeCell ref="A30:E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5" x14ac:dyDescent="0.25"/>
  <cols>
    <col min="1" max="1" width="18.140625" customWidth="1"/>
    <col min="2" max="2" width="20.42578125" customWidth="1"/>
    <col min="3" max="3" width="9.140625" customWidth="1"/>
    <col min="4" max="4" width="9.28515625" customWidth="1"/>
    <col min="5" max="5" width="19.7109375" customWidth="1"/>
    <col min="6" max="6" width="21.140625" customWidth="1"/>
    <col min="7" max="7" width="16.85546875" customWidth="1"/>
    <col min="8" max="8" width="24.28515625" customWidth="1"/>
    <col min="9" max="9" width="50.140625" customWidth="1"/>
  </cols>
  <sheetData>
    <row r="1" spans="1:9" x14ac:dyDescent="0.25">
      <c r="A1" s="17" t="s">
        <v>86</v>
      </c>
      <c r="B1" s="17" t="s">
        <v>102</v>
      </c>
      <c r="C1" s="17" t="s">
        <v>103</v>
      </c>
      <c r="D1" s="17" t="s">
        <v>104</v>
      </c>
      <c r="E1" s="17" t="s">
        <v>105</v>
      </c>
      <c r="F1" s="17" t="s">
        <v>106</v>
      </c>
      <c r="G1" s="17" t="s">
        <v>107</v>
      </c>
      <c r="H1" s="17" t="s">
        <v>108</v>
      </c>
      <c r="I1" s="17" t="s">
        <v>109</v>
      </c>
    </row>
    <row r="2" spans="1:9" x14ac:dyDescent="0.25">
      <c r="A2" t="s">
        <v>92</v>
      </c>
      <c r="B2" t="s">
        <v>93</v>
      </c>
      <c r="C2" t="b">
        <v>0</v>
      </c>
      <c r="D2">
        <v>1</v>
      </c>
      <c r="G2">
        <v>9</v>
      </c>
      <c r="H2" t="b">
        <v>1</v>
      </c>
      <c r="I2" t="s">
        <v>110</v>
      </c>
    </row>
    <row r="3" spans="1:9" x14ac:dyDescent="0.25">
      <c r="A3" t="s">
        <v>95</v>
      </c>
      <c r="B3" t="s">
        <v>96</v>
      </c>
      <c r="C3" t="b">
        <v>1</v>
      </c>
      <c r="D3">
        <v>1</v>
      </c>
      <c r="E3" t="b">
        <v>0</v>
      </c>
      <c r="F3">
        <v>1</v>
      </c>
      <c r="G3">
        <v>4</v>
      </c>
      <c r="I3" t="s">
        <v>111</v>
      </c>
    </row>
    <row r="4" spans="1:9" x14ac:dyDescent="0.25">
      <c r="A4" t="s">
        <v>98</v>
      </c>
      <c r="B4" t="s">
        <v>99</v>
      </c>
      <c r="C4" t="b">
        <v>0</v>
      </c>
      <c r="D4">
        <v>1</v>
      </c>
      <c r="G4">
        <v>6</v>
      </c>
      <c r="H4" t="b">
        <v>1</v>
      </c>
      <c r="I4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8"/>
  <sheetViews>
    <sheetView topLeftCell="A25" workbookViewId="0"/>
  </sheetViews>
  <sheetFormatPr defaultRowHeight="15" x14ac:dyDescent="0.25"/>
  <cols>
    <col min="1" max="1" width="52.5703125" customWidth="1"/>
    <col min="2" max="2" width="145.28515625" customWidth="1"/>
    <col min="3" max="3" width="32.5703125" customWidth="1"/>
    <col min="4" max="4" width="68" customWidth="1"/>
    <col min="5" max="5" width="37.7109375" customWidth="1"/>
    <col min="6" max="6" width="64.42578125" customWidth="1"/>
  </cols>
  <sheetData>
    <row r="1" spans="1:6" x14ac:dyDescent="0.25">
      <c r="A1" s="17" t="s">
        <v>112</v>
      </c>
    </row>
    <row r="2" spans="1:6" x14ac:dyDescent="0.25">
      <c r="A2" t="s">
        <v>113</v>
      </c>
      <c r="B2" t="s">
        <v>63</v>
      </c>
    </row>
    <row r="3" spans="1:6" x14ac:dyDescent="0.25">
      <c r="A3" t="s">
        <v>114</v>
      </c>
      <c r="B3" t="s">
        <v>115</v>
      </c>
    </row>
    <row r="4" spans="1:6" x14ac:dyDescent="0.25">
      <c r="A4" t="s">
        <v>116</v>
      </c>
      <c r="B4" t="s">
        <v>117</v>
      </c>
    </row>
    <row r="6" spans="1:6" x14ac:dyDescent="0.25">
      <c r="A6" s="17" t="s">
        <v>118</v>
      </c>
    </row>
    <row r="7" spans="1:6" x14ac:dyDescent="0.25">
      <c r="A7" s="17" t="s">
        <v>119</v>
      </c>
      <c r="B7" s="17" t="s">
        <v>120</v>
      </c>
      <c r="C7" s="17" t="s">
        <v>121</v>
      </c>
      <c r="D7" s="17" t="s">
        <v>122</v>
      </c>
      <c r="E7" s="17" t="s">
        <v>123</v>
      </c>
      <c r="F7" s="17" t="s">
        <v>124</v>
      </c>
    </row>
    <row r="8" spans="1:6" x14ac:dyDescent="0.25">
      <c r="A8" t="s">
        <v>92</v>
      </c>
      <c r="B8" t="s">
        <v>93</v>
      </c>
      <c r="C8" t="s">
        <v>125</v>
      </c>
      <c r="D8" t="s">
        <v>126</v>
      </c>
      <c r="E8" t="s">
        <v>127</v>
      </c>
      <c r="F8" t="s">
        <v>128</v>
      </c>
    </row>
    <row r="9" spans="1:6" x14ac:dyDescent="0.25">
      <c r="A9" t="s">
        <v>92</v>
      </c>
      <c r="B9" t="s">
        <v>93</v>
      </c>
      <c r="C9" t="s">
        <v>125</v>
      </c>
      <c r="D9" t="s">
        <v>129</v>
      </c>
      <c r="E9" t="s">
        <v>130</v>
      </c>
      <c r="F9" t="s">
        <v>128</v>
      </c>
    </row>
    <row r="10" spans="1:6" x14ac:dyDescent="0.25">
      <c r="A10" t="s">
        <v>92</v>
      </c>
      <c r="B10" t="s">
        <v>93</v>
      </c>
      <c r="C10" t="s">
        <v>125</v>
      </c>
      <c r="D10" t="s">
        <v>131</v>
      </c>
      <c r="E10" t="s">
        <v>132</v>
      </c>
      <c r="F10" t="s">
        <v>128</v>
      </c>
    </row>
    <row r="11" spans="1:6" x14ac:dyDescent="0.25">
      <c r="A11" t="s">
        <v>92</v>
      </c>
      <c r="B11" t="s">
        <v>93</v>
      </c>
      <c r="C11" t="s">
        <v>125</v>
      </c>
      <c r="D11" t="s">
        <v>133</v>
      </c>
      <c r="E11" t="s">
        <v>134</v>
      </c>
      <c r="F11" t="s">
        <v>128</v>
      </c>
    </row>
    <row r="12" spans="1:6" x14ac:dyDescent="0.25">
      <c r="A12" t="s">
        <v>92</v>
      </c>
      <c r="B12" t="s">
        <v>93</v>
      </c>
      <c r="C12" t="s">
        <v>125</v>
      </c>
      <c r="D12" t="s">
        <v>135</v>
      </c>
      <c r="E12" t="s">
        <v>136</v>
      </c>
      <c r="F12" t="s">
        <v>128</v>
      </c>
    </row>
    <row r="13" spans="1:6" x14ac:dyDescent="0.25">
      <c r="A13" t="s">
        <v>92</v>
      </c>
      <c r="B13" t="s">
        <v>93</v>
      </c>
      <c r="C13" t="s">
        <v>125</v>
      </c>
      <c r="D13" t="s">
        <v>137</v>
      </c>
      <c r="E13" t="s">
        <v>138</v>
      </c>
      <c r="F13" t="s">
        <v>128</v>
      </c>
    </row>
    <row r="14" spans="1:6" x14ac:dyDescent="0.25">
      <c r="A14" t="s">
        <v>92</v>
      </c>
      <c r="B14" t="s">
        <v>93</v>
      </c>
      <c r="C14" t="s">
        <v>125</v>
      </c>
      <c r="D14" t="s">
        <v>139</v>
      </c>
      <c r="E14" t="s">
        <v>140</v>
      </c>
      <c r="F14" t="s">
        <v>128</v>
      </c>
    </row>
    <row r="15" spans="1:6" x14ac:dyDescent="0.25">
      <c r="A15" t="s">
        <v>92</v>
      </c>
      <c r="B15" t="s">
        <v>93</v>
      </c>
      <c r="C15" t="s">
        <v>125</v>
      </c>
      <c r="D15" t="s">
        <v>141</v>
      </c>
      <c r="E15" t="s">
        <v>142</v>
      </c>
      <c r="F15" t="s">
        <v>128</v>
      </c>
    </row>
    <row r="16" spans="1:6" x14ac:dyDescent="0.25">
      <c r="A16" t="s">
        <v>92</v>
      </c>
      <c r="B16" t="s">
        <v>93</v>
      </c>
      <c r="C16" t="s">
        <v>125</v>
      </c>
      <c r="D16" t="s">
        <v>143</v>
      </c>
      <c r="E16" t="s">
        <v>144</v>
      </c>
      <c r="F16" t="s">
        <v>128</v>
      </c>
    </row>
    <row r="17" spans="1:6" x14ac:dyDescent="0.25">
      <c r="A17" t="s">
        <v>92</v>
      </c>
      <c r="B17" t="s">
        <v>93</v>
      </c>
      <c r="C17" t="s">
        <v>125</v>
      </c>
      <c r="D17" t="s">
        <v>145</v>
      </c>
      <c r="E17" t="s">
        <v>146</v>
      </c>
      <c r="F17" t="s">
        <v>128</v>
      </c>
    </row>
    <row r="18" spans="1:6" x14ac:dyDescent="0.25">
      <c r="A18" t="s">
        <v>92</v>
      </c>
      <c r="B18" t="s">
        <v>93</v>
      </c>
      <c r="C18" t="s">
        <v>125</v>
      </c>
      <c r="D18" t="s">
        <v>147</v>
      </c>
      <c r="E18" t="s">
        <v>148</v>
      </c>
      <c r="F18" t="s">
        <v>128</v>
      </c>
    </row>
    <row r="19" spans="1:6" x14ac:dyDescent="0.25">
      <c r="A19" t="s">
        <v>92</v>
      </c>
      <c r="B19" t="s">
        <v>93</v>
      </c>
      <c r="C19" t="s">
        <v>125</v>
      </c>
      <c r="D19" t="s">
        <v>149</v>
      </c>
      <c r="E19" t="s">
        <v>150</v>
      </c>
      <c r="F19" t="s">
        <v>128</v>
      </c>
    </row>
    <row r="20" spans="1:6" x14ac:dyDescent="0.25">
      <c r="A20" t="s">
        <v>92</v>
      </c>
      <c r="B20" t="s">
        <v>93</v>
      </c>
      <c r="C20" t="s">
        <v>125</v>
      </c>
      <c r="D20" t="s">
        <v>151</v>
      </c>
      <c r="E20" t="s">
        <v>152</v>
      </c>
      <c r="F20" t="s">
        <v>128</v>
      </c>
    </row>
    <row r="21" spans="1:6" x14ac:dyDescent="0.25">
      <c r="A21" t="s">
        <v>92</v>
      </c>
      <c r="B21" t="s">
        <v>93</v>
      </c>
      <c r="C21" t="s">
        <v>125</v>
      </c>
      <c r="D21" t="s">
        <v>153</v>
      </c>
      <c r="E21" t="s">
        <v>154</v>
      </c>
      <c r="F21" t="s">
        <v>128</v>
      </c>
    </row>
    <row r="22" spans="1:6" x14ac:dyDescent="0.25">
      <c r="A22" t="s">
        <v>92</v>
      </c>
      <c r="B22" t="s">
        <v>93</v>
      </c>
      <c r="C22" t="s">
        <v>125</v>
      </c>
      <c r="D22" t="s">
        <v>155</v>
      </c>
      <c r="E22" t="s">
        <v>156</v>
      </c>
      <c r="F22" t="s">
        <v>128</v>
      </c>
    </row>
    <row r="23" spans="1:6" x14ac:dyDescent="0.25">
      <c r="A23" t="s">
        <v>92</v>
      </c>
      <c r="B23" t="s">
        <v>93</v>
      </c>
      <c r="C23" t="s">
        <v>125</v>
      </c>
      <c r="D23" t="s">
        <v>157</v>
      </c>
      <c r="E23" t="s">
        <v>158</v>
      </c>
      <c r="F23" t="s">
        <v>128</v>
      </c>
    </row>
    <row r="24" spans="1:6" x14ac:dyDescent="0.25">
      <c r="A24" t="s">
        <v>92</v>
      </c>
      <c r="B24" t="s">
        <v>93</v>
      </c>
      <c r="C24" t="s">
        <v>125</v>
      </c>
      <c r="D24" t="s">
        <v>159</v>
      </c>
      <c r="E24" t="s">
        <v>160</v>
      </c>
      <c r="F24" t="s">
        <v>128</v>
      </c>
    </row>
    <row r="25" spans="1:6" x14ac:dyDescent="0.25">
      <c r="A25" t="s">
        <v>92</v>
      </c>
      <c r="B25" t="s">
        <v>93</v>
      </c>
      <c r="C25" t="s">
        <v>125</v>
      </c>
      <c r="D25" t="s">
        <v>161</v>
      </c>
      <c r="E25" t="s">
        <v>162</v>
      </c>
      <c r="F25" t="s">
        <v>128</v>
      </c>
    </row>
    <row r="26" spans="1:6" x14ac:dyDescent="0.25">
      <c r="A26" t="s">
        <v>92</v>
      </c>
      <c r="B26" t="s">
        <v>93</v>
      </c>
      <c r="C26" t="s">
        <v>125</v>
      </c>
      <c r="D26" t="s">
        <v>163</v>
      </c>
      <c r="E26" t="s">
        <v>164</v>
      </c>
      <c r="F26" t="s">
        <v>128</v>
      </c>
    </row>
    <row r="27" spans="1:6" x14ac:dyDescent="0.25">
      <c r="A27" t="s">
        <v>92</v>
      </c>
      <c r="B27" t="s">
        <v>93</v>
      </c>
      <c r="C27" t="s">
        <v>125</v>
      </c>
      <c r="D27" t="s">
        <v>165</v>
      </c>
      <c r="E27" t="s">
        <v>166</v>
      </c>
      <c r="F27" t="s">
        <v>128</v>
      </c>
    </row>
    <row r="28" spans="1:6" x14ac:dyDescent="0.25">
      <c r="A28" t="s">
        <v>92</v>
      </c>
      <c r="B28" t="s">
        <v>93</v>
      </c>
      <c r="C28" t="s">
        <v>125</v>
      </c>
      <c r="D28" t="s">
        <v>167</v>
      </c>
      <c r="E28" t="s">
        <v>168</v>
      </c>
      <c r="F28" t="s">
        <v>128</v>
      </c>
    </row>
    <row r="29" spans="1:6" x14ac:dyDescent="0.25">
      <c r="A29" t="s">
        <v>92</v>
      </c>
      <c r="B29" t="s">
        <v>93</v>
      </c>
      <c r="C29" t="s">
        <v>125</v>
      </c>
      <c r="D29" t="s">
        <v>169</v>
      </c>
      <c r="E29" t="s">
        <v>170</v>
      </c>
      <c r="F29" t="s">
        <v>128</v>
      </c>
    </row>
    <row r="30" spans="1:6" x14ac:dyDescent="0.25">
      <c r="A30" t="s">
        <v>92</v>
      </c>
      <c r="B30" t="s">
        <v>93</v>
      </c>
      <c r="C30" t="s">
        <v>125</v>
      </c>
      <c r="D30" t="s">
        <v>171</v>
      </c>
      <c r="E30" t="s">
        <v>172</v>
      </c>
      <c r="F30" t="s">
        <v>128</v>
      </c>
    </row>
    <row r="31" spans="1:6" x14ac:dyDescent="0.25">
      <c r="A31" t="s">
        <v>92</v>
      </c>
      <c r="B31" t="s">
        <v>93</v>
      </c>
      <c r="C31" t="s">
        <v>125</v>
      </c>
      <c r="D31" t="s">
        <v>173</v>
      </c>
      <c r="E31" t="s">
        <v>174</v>
      </c>
      <c r="F31" t="s">
        <v>128</v>
      </c>
    </row>
    <row r="32" spans="1:6" x14ac:dyDescent="0.25">
      <c r="A32" t="s">
        <v>92</v>
      </c>
      <c r="B32" t="s">
        <v>93</v>
      </c>
      <c r="C32" t="s">
        <v>125</v>
      </c>
      <c r="D32" t="s">
        <v>175</v>
      </c>
      <c r="E32" t="s">
        <v>176</v>
      </c>
      <c r="F32" t="s">
        <v>128</v>
      </c>
    </row>
    <row r="33" spans="1:6" x14ac:dyDescent="0.25">
      <c r="A33" t="s">
        <v>92</v>
      </c>
      <c r="B33" t="s">
        <v>93</v>
      </c>
      <c r="C33" t="s">
        <v>125</v>
      </c>
      <c r="D33" t="s">
        <v>177</v>
      </c>
      <c r="E33" t="s">
        <v>178</v>
      </c>
      <c r="F33" t="s">
        <v>128</v>
      </c>
    </row>
    <row r="34" spans="1:6" x14ac:dyDescent="0.25">
      <c r="A34" t="s">
        <v>92</v>
      </c>
      <c r="B34" t="s">
        <v>93</v>
      </c>
      <c r="C34" t="s">
        <v>125</v>
      </c>
      <c r="D34" t="s">
        <v>179</v>
      </c>
      <c r="E34" t="s">
        <v>180</v>
      </c>
      <c r="F34" t="s">
        <v>128</v>
      </c>
    </row>
    <row r="35" spans="1:6" x14ac:dyDescent="0.25">
      <c r="A35" t="s">
        <v>92</v>
      </c>
      <c r="B35" t="s">
        <v>93</v>
      </c>
      <c r="C35" t="s">
        <v>125</v>
      </c>
      <c r="D35" t="s">
        <v>181</v>
      </c>
      <c r="E35" t="s">
        <v>182</v>
      </c>
      <c r="F35" t="s">
        <v>128</v>
      </c>
    </row>
    <row r="36" spans="1:6" x14ac:dyDescent="0.25">
      <c r="A36" t="s">
        <v>92</v>
      </c>
      <c r="B36" t="s">
        <v>93</v>
      </c>
      <c r="C36" t="s">
        <v>125</v>
      </c>
      <c r="D36" t="s">
        <v>183</v>
      </c>
      <c r="E36" t="s">
        <v>184</v>
      </c>
      <c r="F36" t="s">
        <v>128</v>
      </c>
    </row>
    <row r="37" spans="1:6" x14ac:dyDescent="0.25">
      <c r="A37" t="s">
        <v>92</v>
      </c>
      <c r="B37" t="s">
        <v>93</v>
      </c>
      <c r="C37" t="s">
        <v>125</v>
      </c>
      <c r="D37" t="s">
        <v>185</v>
      </c>
      <c r="E37" t="s">
        <v>186</v>
      </c>
      <c r="F37" t="s">
        <v>128</v>
      </c>
    </row>
    <row r="38" spans="1:6" x14ac:dyDescent="0.25">
      <c r="A38" t="s">
        <v>92</v>
      </c>
      <c r="B38" t="s">
        <v>93</v>
      </c>
      <c r="C38" t="s">
        <v>125</v>
      </c>
      <c r="D38" t="s">
        <v>187</v>
      </c>
      <c r="E38" t="s">
        <v>188</v>
      </c>
      <c r="F38" t="s">
        <v>128</v>
      </c>
    </row>
    <row r="39" spans="1:6" x14ac:dyDescent="0.25">
      <c r="A39" t="s">
        <v>92</v>
      </c>
      <c r="B39" t="s">
        <v>93</v>
      </c>
      <c r="C39" t="s">
        <v>125</v>
      </c>
      <c r="D39" t="s">
        <v>189</v>
      </c>
      <c r="E39" t="s">
        <v>190</v>
      </c>
      <c r="F39" t="s">
        <v>128</v>
      </c>
    </row>
    <row r="40" spans="1:6" x14ac:dyDescent="0.25">
      <c r="A40" t="s">
        <v>92</v>
      </c>
      <c r="B40" t="s">
        <v>93</v>
      </c>
      <c r="C40" t="s">
        <v>125</v>
      </c>
      <c r="D40" t="s">
        <v>191</v>
      </c>
      <c r="E40" t="s">
        <v>192</v>
      </c>
      <c r="F40" t="s">
        <v>128</v>
      </c>
    </row>
    <row r="41" spans="1:6" x14ac:dyDescent="0.25">
      <c r="A41" t="s">
        <v>92</v>
      </c>
      <c r="B41" t="s">
        <v>93</v>
      </c>
      <c r="C41" t="s">
        <v>125</v>
      </c>
      <c r="D41" t="s">
        <v>193</v>
      </c>
      <c r="E41" t="s">
        <v>194</v>
      </c>
      <c r="F41" t="s">
        <v>128</v>
      </c>
    </row>
    <row r="42" spans="1:6" x14ac:dyDescent="0.25">
      <c r="A42" t="s">
        <v>92</v>
      </c>
      <c r="B42" t="s">
        <v>93</v>
      </c>
      <c r="C42" t="s">
        <v>125</v>
      </c>
      <c r="D42" t="s">
        <v>195</v>
      </c>
      <c r="E42" t="s">
        <v>196</v>
      </c>
      <c r="F42" t="s">
        <v>128</v>
      </c>
    </row>
    <row r="43" spans="1:6" x14ac:dyDescent="0.25">
      <c r="A43" t="s">
        <v>92</v>
      </c>
      <c r="B43" t="s">
        <v>93</v>
      </c>
      <c r="C43" t="s">
        <v>125</v>
      </c>
      <c r="D43" t="s">
        <v>197</v>
      </c>
      <c r="E43" t="s">
        <v>198</v>
      </c>
      <c r="F43" t="s">
        <v>128</v>
      </c>
    </row>
    <row r="44" spans="1:6" x14ac:dyDescent="0.25">
      <c r="A44" t="s">
        <v>92</v>
      </c>
      <c r="B44" t="s">
        <v>93</v>
      </c>
      <c r="C44" t="s">
        <v>125</v>
      </c>
      <c r="D44" t="s">
        <v>199</v>
      </c>
      <c r="E44" t="s">
        <v>200</v>
      </c>
      <c r="F44" t="s">
        <v>128</v>
      </c>
    </row>
    <row r="45" spans="1:6" x14ac:dyDescent="0.25">
      <c r="A45" t="s">
        <v>92</v>
      </c>
      <c r="B45" t="s">
        <v>93</v>
      </c>
      <c r="C45" t="s">
        <v>125</v>
      </c>
      <c r="D45" t="s">
        <v>201</v>
      </c>
      <c r="E45" t="s">
        <v>202</v>
      </c>
      <c r="F45" t="s">
        <v>128</v>
      </c>
    </row>
    <row r="46" spans="1:6" x14ac:dyDescent="0.25">
      <c r="A46" t="s">
        <v>92</v>
      </c>
      <c r="B46" t="s">
        <v>93</v>
      </c>
      <c r="C46" t="s">
        <v>125</v>
      </c>
      <c r="D46" t="s">
        <v>203</v>
      </c>
      <c r="E46" t="s">
        <v>204</v>
      </c>
      <c r="F46" t="s">
        <v>128</v>
      </c>
    </row>
    <row r="47" spans="1:6" x14ac:dyDescent="0.25">
      <c r="A47" t="s">
        <v>92</v>
      </c>
      <c r="B47" t="s">
        <v>93</v>
      </c>
      <c r="C47" t="s">
        <v>125</v>
      </c>
      <c r="D47" t="s">
        <v>205</v>
      </c>
      <c r="E47" t="s">
        <v>206</v>
      </c>
      <c r="F47" t="s">
        <v>128</v>
      </c>
    </row>
    <row r="48" spans="1:6" x14ac:dyDescent="0.25">
      <c r="A48" t="s">
        <v>92</v>
      </c>
      <c r="B48" t="s">
        <v>93</v>
      </c>
      <c r="C48" t="s">
        <v>125</v>
      </c>
      <c r="D48" t="s">
        <v>207</v>
      </c>
      <c r="E48" t="s">
        <v>208</v>
      </c>
      <c r="F48" t="s">
        <v>128</v>
      </c>
    </row>
    <row r="49" spans="1:6" x14ac:dyDescent="0.25">
      <c r="A49" t="s">
        <v>92</v>
      </c>
      <c r="B49" t="s">
        <v>93</v>
      </c>
      <c r="C49" t="s">
        <v>125</v>
      </c>
      <c r="D49" t="s">
        <v>209</v>
      </c>
      <c r="E49" t="s">
        <v>210</v>
      </c>
      <c r="F49" t="s">
        <v>128</v>
      </c>
    </row>
    <row r="50" spans="1:6" x14ac:dyDescent="0.25">
      <c r="A50" t="s">
        <v>92</v>
      </c>
      <c r="B50" t="s">
        <v>93</v>
      </c>
      <c r="C50" t="s">
        <v>125</v>
      </c>
      <c r="D50" t="s">
        <v>211</v>
      </c>
      <c r="E50" t="s">
        <v>212</v>
      </c>
      <c r="F50" t="s">
        <v>128</v>
      </c>
    </row>
    <row r="51" spans="1:6" x14ac:dyDescent="0.25">
      <c r="A51" t="s">
        <v>92</v>
      </c>
      <c r="B51" t="s">
        <v>93</v>
      </c>
      <c r="C51" t="s">
        <v>125</v>
      </c>
      <c r="D51" t="s">
        <v>213</v>
      </c>
      <c r="E51" t="s">
        <v>214</v>
      </c>
      <c r="F51" t="s">
        <v>128</v>
      </c>
    </row>
    <row r="52" spans="1:6" x14ac:dyDescent="0.25">
      <c r="A52" t="s">
        <v>92</v>
      </c>
      <c r="B52" t="s">
        <v>93</v>
      </c>
      <c r="C52" t="s">
        <v>125</v>
      </c>
      <c r="D52" t="s">
        <v>215</v>
      </c>
      <c r="E52" t="s">
        <v>216</v>
      </c>
      <c r="F52" t="s">
        <v>128</v>
      </c>
    </row>
    <row r="53" spans="1:6" x14ac:dyDescent="0.25">
      <c r="A53" t="s">
        <v>92</v>
      </c>
      <c r="B53" t="s">
        <v>93</v>
      </c>
      <c r="C53" t="s">
        <v>125</v>
      </c>
      <c r="D53" t="s">
        <v>217</v>
      </c>
      <c r="E53" t="s">
        <v>218</v>
      </c>
      <c r="F53" t="s">
        <v>128</v>
      </c>
    </row>
    <row r="54" spans="1:6" x14ac:dyDescent="0.25">
      <c r="A54" t="s">
        <v>92</v>
      </c>
      <c r="B54" t="s">
        <v>93</v>
      </c>
      <c r="C54" t="s">
        <v>125</v>
      </c>
      <c r="D54" t="s">
        <v>219</v>
      </c>
      <c r="E54" t="s">
        <v>220</v>
      </c>
      <c r="F54" t="s">
        <v>128</v>
      </c>
    </row>
    <row r="55" spans="1:6" x14ac:dyDescent="0.25">
      <c r="A55" t="s">
        <v>92</v>
      </c>
      <c r="B55" t="s">
        <v>93</v>
      </c>
      <c r="C55" t="s">
        <v>125</v>
      </c>
      <c r="D55" t="s">
        <v>221</v>
      </c>
      <c r="E55" t="s">
        <v>222</v>
      </c>
      <c r="F55" t="s">
        <v>128</v>
      </c>
    </row>
    <row r="56" spans="1:6" x14ac:dyDescent="0.25">
      <c r="A56" t="s">
        <v>92</v>
      </c>
      <c r="B56" t="s">
        <v>93</v>
      </c>
      <c r="C56" t="s">
        <v>125</v>
      </c>
      <c r="D56" t="s">
        <v>223</v>
      </c>
      <c r="E56" t="s">
        <v>224</v>
      </c>
      <c r="F56" t="s">
        <v>128</v>
      </c>
    </row>
    <row r="57" spans="1:6" x14ac:dyDescent="0.25">
      <c r="A57" t="s">
        <v>92</v>
      </c>
      <c r="B57" t="s">
        <v>93</v>
      </c>
      <c r="C57" t="s">
        <v>125</v>
      </c>
      <c r="D57" t="s">
        <v>225</v>
      </c>
      <c r="E57" t="s">
        <v>226</v>
      </c>
      <c r="F57" t="s">
        <v>128</v>
      </c>
    </row>
    <row r="58" spans="1:6" x14ac:dyDescent="0.25">
      <c r="A58" t="s">
        <v>98</v>
      </c>
      <c r="B58" t="s">
        <v>99</v>
      </c>
      <c r="C58" t="s">
        <v>125</v>
      </c>
      <c r="D58" t="s">
        <v>227</v>
      </c>
      <c r="E58" t="s">
        <v>228</v>
      </c>
      <c r="F58" t="s">
        <v>128</v>
      </c>
    </row>
    <row r="59" spans="1:6" x14ac:dyDescent="0.25">
      <c r="A59" t="s">
        <v>98</v>
      </c>
      <c r="B59" t="s">
        <v>99</v>
      </c>
      <c r="C59" t="s">
        <v>125</v>
      </c>
      <c r="D59" t="s">
        <v>165</v>
      </c>
      <c r="E59" t="s">
        <v>229</v>
      </c>
      <c r="F59" t="s">
        <v>128</v>
      </c>
    </row>
    <row r="60" spans="1:6" x14ac:dyDescent="0.25">
      <c r="A60" t="s">
        <v>98</v>
      </c>
      <c r="B60" t="s">
        <v>99</v>
      </c>
      <c r="C60" t="s">
        <v>125</v>
      </c>
      <c r="D60" t="s">
        <v>167</v>
      </c>
      <c r="E60" t="s">
        <v>230</v>
      </c>
      <c r="F60" t="s">
        <v>128</v>
      </c>
    </row>
    <row r="61" spans="1:6" x14ac:dyDescent="0.25">
      <c r="A61" t="s">
        <v>98</v>
      </c>
      <c r="B61" t="s">
        <v>99</v>
      </c>
      <c r="C61" t="s">
        <v>125</v>
      </c>
      <c r="D61" t="s">
        <v>201</v>
      </c>
      <c r="E61" t="s">
        <v>231</v>
      </c>
      <c r="F61" t="s">
        <v>128</v>
      </c>
    </row>
    <row r="62" spans="1:6" x14ac:dyDescent="0.25">
      <c r="A62" t="s">
        <v>98</v>
      </c>
      <c r="B62" t="s">
        <v>99</v>
      </c>
      <c r="C62" t="s">
        <v>125</v>
      </c>
      <c r="D62" t="s">
        <v>205</v>
      </c>
      <c r="E62" t="s">
        <v>232</v>
      </c>
      <c r="F62" t="s">
        <v>128</v>
      </c>
    </row>
    <row r="63" spans="1:6" x14ac:dyDescent="0.25">
      <c r="A63" t="s">
        <v>98</v>
      </c>
      <c r="B63" t="s">
        <v>99</v>
      </c>
      <c r="C63" t="s">
        <v>125</v>
      </c>
      <c r="D63" t="s">
        <v>203</v>
      </c>
      <c r="E63" t="s">
        <v>233</v>
      </c>
      <c r="F63" t="s">
        <v>128</v>
      </c>
    </row>
    <row r="64" spans="1:6" x14ac:dyDescent="0.25">
      <c r="A64" t="s">
        <v>98</v>
      </c>
      <c r="B64" t="s">
        <v>99</v>
      </c>
      <c r="C64" t="s">
        <v>125</v>
      </c>
      <c r="D64" t="s">
        <v>209</v>
      </c>
      <c r="E64" t="s">
        <v>234</v>
      </c>
      <c r="F64" t="s">
        <v>128</v>
      </c>
    </row>
    <row r="65" spans="1:6" x14ac:dyDescent="0.25">
      <c r="A65" t="s">
        <v>98</v>
      </c>
      <c r="B65" t="s">
        <v>99</v>
      </c>
      <c r="C65" t="s">
        <v>125</v>
      </c>
      <c r="D65" t="s">
        <v>211</v>
      </c>
      <c r="E65" t="s">
        <v>235</v>
      </c>
      <c r="F65" t="s">
        <v>128</v>
      </c>
    </row>
    <row r="66" spans="1:6" x14ac:dyDescent="0.25">
      <c r="A66" t="s">
        <v>98</v>
      </c>
      <c r="B66" t="s">
        <v>99</v>
      </c>
      <c r="C66" t="s">
        <v>125</v>
      </c>
      <c r="D66" t="s">
        <v>213</v>
      </c>
      <c r="E66" t="s">
        <v>236</v>
      </c>
      <c r="F66" t="s">
        <v>128</v>
      </c>
    </row>
    <row r="67" spans="1:6" x14ac:dyDescent="0.25">
      <c r="A67" t="s">
        <v>98</v>
      </c>
      <c r="B67" t="s">
        <v>99</v>
      </c>
      <c r="C67" t="s">
        <v>125</v>
      </c>
      <c r="D67" t="s">
        <v>215</v>
      </c>
      <c r="E67" t="s">
        <v>237</v>
      </c>
      <c r="F67" t="s">
        <v>128</v>
      </c>
    </row>
    <row r="68" spans="1:6" x14ac:dyDescent="0.25">
      <c r="A68" t="s">
        <v>98</v>
      </c>
      <c r="B68" t="s">
        <v>99</v>
      </c>
      <c r="C68" t="s">
        <v>125</v>
      </c>
      <c r="D68" t="s">
        <v>219</v>
      </c>
      <c r="E68" t="s">
        <v>238</v>
      </c>
      <c r="F68" t="s">
        <v>128</v>
      </c>
    </row>
    <row r="69" spans="1:6" x14ac:dyDescent="0.25">
      <c r="A69" t="s">
        <v>98</v>
      </c>
      <c r="B69" t="s">
        <v>99</v>
      </c>
      <c r="C69" t="s">
        <v>125</v>
      </c>
      <c r="D69" t="s">
        <v>221</v>
      </c>
      <c r="E69" t="s">
        <v>239</v>
      </c>
      <c r="F69" t="s">
        <v>128</v>
      </c>
    </row>
    <row r="70" spans="1:6" x14ac:dyDescent="0.25">
      <c r="A70" t="s">
        <v>98</v>
      </c>
      <c r="B70" t="s">
        <v>99</v>
      </c>
      <c r="C70" t="s">
        <v>125</v>
      </c>
      <c r="D70" t="s">
        <v>223</v>
      </c>
      <c r="E70" t="s">
        <v>240</v>
      </c>
      <c r="F70" t="s">
        <v>128</v>
      </c>
    </row>
    <row r="71" spans="1:6" x14ac:dyDescent="0.25">
      <c r="A71" t="s">
        <v>98</v>
      </c>
      <c r="B71" t="s">
        <v>99</v>
      </c>
      <c r="C71" t="s">
        <v>125</v>
      </c>
      <c r="D71" t="s">
        <v>225</v>
      </c>
      <c r="E71" t="s">
        <v>241</v>
      </c>
      <c r="F71" t="s">
        <v>128</v>
      </c>
    </row>
    <row r="74" spans="1:6" x14ac:dyDescent="0.25">
      <c r="A74" s="17" t="s">
        <v>242</v>
      </c>
    </row>
    <row r="75" spans="1:6" x14ac:dyDescent="0.25">
      <c r="A75" s="17" t="s">
        <v>119</v>
      </c>
      <c r="B75" s="17" t="s">
        <v>120</v>
      </c>
      <c r="C75" s="17" t="s">
        <v>243</v>
      </c>
      <c r="D75" s="17" t="s">
        <v>124</v>
      </c>
    </row>
    <row r="76" spans="1:6" x14ac:dyDescent="0.25">
      <c r="A76" t="s">
        <v>92</v>
      </c>
      <c r="B76" t="s">
        <v>93</v>
      </c>
      <c r="C76" t="s">
        <v>244</v>
      </c>
      <c r="D76" t="s">
        <v>245</v>
      </c>
    </row>
    <row r="77" spans="1:6" x14ac:dyDescent="0.25">
      <c r="A77" t="s">
        <v>92</v>
      </c>
      <c r="B77" t="s">
        <v>93</v>
      </c>
      <c r="C77" t="s">
        <v>246</v>
      </c>
      <c r="D77" t="s">
        <v>245</v>
      </c>
    </row>
    <row r="78" spans="1:6" x14ac:dyDescent="0.25">
      <c r="A78" t="s">
        <v>92</v>
      </c>
      <c r="B78" t="s">
        <v>93</v>
      </c>
      <c r="C78" t="s">
        <v>247</v>
      </c>
      <c r="D78" t="s">
        <v>245</v>
      </c>
    </row>
    <row r="79" spans="1:6" x14ac:dyDescent="0.25">
      <c r="A79" t="s">
        <v>92</v>
      </c>
      <c r="B79" t="s">
        <v>93</v>
      </c>
      <c r="C79" t="s">
        <v>248</v>
      </c>
      <c r="D79" t="s">
        <v>245</v>
      </c>
    </row>
    <row r="80" spans="1:6" x14ac:dyDescent="0.25">
      <c r="A80" t="s">
        <v>92</v>
      </c>
      <c r="B80" t="s">
        <v>93</v>
      </c>
      <c r="C80" t="s">
        <v>249</v>
      </c>
      <c r="D80" t="s">
        <v>245</v>
      </c>
    </row>
    <row r="83" spans="1:4" x14ac:dyDescent="0.25">
      <c r="A83" s="17" t="s">
        <v>250</v>
      </c>
    </row>
    <row r="84" spans="1:4" x14ac:dyDescent="0.25">
      <c r="A84" s="17" t="s">
        <v>119</v>
      </c>
      <c r="B84" s="17" t="s">
        <v>120</v>
      </c>
      <c r="C84" s="17" t="s">
        <v>251</v>
      </c>
      <c r="D84" s="17" t="s">
        <v>124</v>
      </c>
    </row>
    <row r="85" spans="1:4" x14ac:dyDescent="0.25">
      <c r="A85" t="s">
        <v>92</v>
      </c>
      <c r="B85" t="s">
        <v>93</v>
      </c>
      <c r="C85" t="s">
        <v>252</v>
      </c>
      <c r="D85" t="s">
        <v>253</v>
      </c>
    </row>
    <row r="86" spans="1:4" x14ac:dyDescent="0.25">
      <c r="A86" t="s">
        <v>92</v>
      </c>
      <c r="B86" t="s">
        <v>93</v>
      </c>
      <c r="C86" t="s">
        <v>254</v>
      </c>
      <c r="D86" t="s">
        <v>253</v>
      </c>
    </row>
    <row r="87" spans="1:4" x14ac:dyDescent="0.25">
      <c r="A87" t="s">
        <v>92</v>
      </c>
      <c r="B87" t="s">
        <v>93</v>
      </c>
      <c r="C87" t="s">
        <v>255</v>
      </c>
      <c r="D87" t="s">
        <v>253</v>
      </c>
    </row>
    <row r="88" spans="1:4" x14ac:dyDescent="0.25">
      <c r="A88" t="s">
        <v>92</v>
      </c>
      <c r="B88" t="s">
        <v>93</v>
      </c>
      <c r="C88" t="s">
        <v>256</v>
      </c>
      <c r="D88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cols>
    <col min="1" max="1" width="120.85546875" customWidth="1"/>
    <col min="2" max="2" width="126.85546875" customWidth="1"/>
  </cols>
  <sheetData>
    <row r="1" spans="1:2" x14ac:dyDescent="0.25">
      <c r="A1" s="17" t="s">
        <v>257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258</v>
      </c>
      <c r="B3" t="s">
        <v>259</v>
      </c>
    </row>
    <row r="5" spans="1:2" x14ac:dyDescent="0.25">
      <c r="A5" t="s">
        <v>260</v>
      </c>
    </row>
    <row r="6" spans="1:2" x14ac:dyDescent="0.25">
      <c r="A6" t="s">
        <v>261</v>
      </c>
    </row>
    <row r="7" spans="1:2" x14ac:dyDescent="0.25">
      <c r="A7" t="s">
        <v>262</v>
      </c>
    </row>
    <row r="8" spans="1:2" x14ac:dyDescent="0.25">
      <c r="A8" t="s">
        <v>263</v>
      </c>
    </row>
    <row r="9" spans="1:2" x14ac:dyDescent="0.25">
      <c r="A9" t="s">
        <v>264</v>
      </c>
    </row>
    <row r="10" spans="1:2" x14ac:dyDescent="0.25">
      <c r="A10" t="s">
        <v>265</v>
      </c>
    </row>
    <row r="11" spans="1:2" x14ac:dyDescent="0.25">
      <c r="A11" t="s">
        <v>266</v>
      </c>
    </row>
    <row r="12" spans="1:2" x14ac:dyDescent="0.25">
      <c r="A12" t="s">
        <v>267</v>
      </c>
    </row>
    <row r="13" spans="1:2" x14ac:dyDescent="0.25">
      <c r="A13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53D4A4D0380444B5385A9E7311AEDF" ma:contentTypeVersion="5" ma:contentTypeDescription="Create a new document." ma:contentTypeScope="" ma:versionID="aafb0538f9e527d13c13e8b20c2707f2">
  <xsd:schema xmlns:xsd="http://www.w3.org/2001/XMLSchema" xmlns:xs="http://www.w3.org/2001/XMLSchema" xmlns:p="http://schemas.microsoft.com/office/2006/metadata/properties" xmlns:ns2="969e6138-1ada-4f00-ac57-308d5cf5beb6" targetNamespace="http://schemas.microsoft.com/office/2006/metadata/properties" ma:root="true" ma:fieldsID="bcd861f4dc5b71147dde7b29b74f7666" ns2:_="">
    <xsd:import namespace="969e6138-1ada-4f00-ac57-308d5cf5be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e6138-1ada-4f00-ac57-308d5cf5b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B760AE-7A02-4E41-9365-CD0DE35C8556}"/>
</file>

<file path=customXml/itemProps2.xml><?xml version="1.0" encoding="utf-8"?>
<ds:datastoreItem xmlns:ds="http://schemas.openxmlformats.org/officeDocument/2006/customXml" ds:itemID="{1ECB3AC7-C497-4229-ACA5-6A13E9660CB3}"/>
</file>

<file path=customXml/itemProps3.xml><?xml version="1.0" encoding="utf-8"?>
<ds:datastoreItem xmlns:ds="http://schemas.openxmlformats.org/officeDocument/2006/customXml" ds:itemID="{FB2D24FD-989B-4352-8EE2-821F1687AA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LOE Calculator</vt:lpstr>
      <vt:lpstr>LOE by Phase</vt:lpstr>
      <vt:lpstr>Executive Summary</vt:lpstr>
      <vt:lpstr>Infra &amp; Readiness</vt:lpstr>
      <vt:lpstr>Name Conflicts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Lagana</cp:lastModifiedBy>
  <dcterms:created xsi:type="dcterms:W3CDTF">2026-01-13T14:00:48Z</dcterms:created>
  <dcterms:modified xsi:type="dcterms:W3CDTF">2026-01-13T21:36:04Z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0x0101000F53D4A4D0380444B5385A9E7311AEDF</vt:lpwstr>
  </property>
</Properties>
</file>